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105" windowWidth="18195" windowHeight="12345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M36" i="1"/>
  <c r="M35"/>
  <c r="M32"/>
  <c r="M31"/>
  <c r="M29"/>
  <c r="M28"/>
  <c r="M27"/>
  <c r="M26"/>
  <c r="M23"/>
  <c r="M22"/>
  <c r="M21"/>
  <c r="M20"/>
  <c r="M19"/>
  <c r="M17"/>
  <c r="M16"/>
  <c r="M13"/>
  <c r="M12"/>
  <c r="M10"/>
  <c r="M9"/>
  <c r="M7"/>
  <c r="M6"/>
  <c r="M5"/>
  <c r="M4"/>
</calcChain>
</file>

<file path=xl/sharedStrings.xml><?xml version="1.0" encoding="utf-8"?>
<sst xmlns="http://schemas.openxmlformats.org/spreadsheetml/2006/main" count="36" uniqueCount="33">
  <si>
    <t>r2935</t>
  </si>
  <si>
    <t>command</t>
  </si>
  <si>
    <t>7.14sa</t>
  </si>
  <si>
    <t>total time</t>
  </si>
  <si>
    <t>GC time</t>
  </si>
  <si>
    <t>memory (MB)</t>
  </si>
  <si>
    <t>(perf-test "ACT-R:tutorial;unit1;count.lisp" nil nil (dotimes (i 15500) (reset) (run 1)))</t>
  </si>
  <si>
    <t>(perf-test "ACT-R:tutorial;unit1;addition.lisp" nil nil (dotimes (i 14000) (reset) (run 1)))</t>
  </si>
  <si>
    <t>(perf-test "ACT-R:tutorial;unit1;semantic.lisp" nil nil (dotimes (i 11000) (reset) (run 1) (goal-focus g2) (run 1) (goal-focus g3) (run 1)))</t>
  </si>
  <si>
    <t>(perf-test "ACT-R:tutorial;unit1;tutor-model-solution.lisp" nil nil (dotimes (i 13500) (reset) (run 1)))</t>
  </si>
  <si>
    <t>(perf-test "ACT-R:tutorial;lisp;demo2.lisp" nil nil (dotimes (i 11000) (demo2-experiment)))</t>
  </si>
  <si>
    <t>(perf-test "ACT-R:tutorial;lisp;unit2.lisp" "ACT-R:examples;act-r-solutions;unit-2-solution-model.lisp" nil (dotimes (i 8000) (unit2-experiment)))</t>
  </si>
  <si>
    <t>(perf-test "ACT-R:tutorial;lisp;sperling.lisp" nil (setf *show-responses* nil) (sperling-experiment 1000))</t>
  </si>
  <si>
    <t xml:space="preserve">(perf-test "ACT-R:tutorial;lisp;subitize.lisp" "ACT-R:examples;act-r-solutions;unit-3-subitize-solution-model.lisp" (defun report-data (x)) (dotimes (i 500) (subitize-experiment))) </t>
  </si>
  <si>
    <t>(perf-test "ACT-R:tutorial;lisp;paired.lisp" nil nil (paired-experiment 130))</t>
  </si>
  <si>
    <t xml:space="preserve">(perf-test "ACT-R:tutorial;lisp;zbrodoff.lisp" "ACT-R:examples;act-r-solutions;unit-4-zbrodoff-solution-model.lisp" nil (zbrodoff-compare 14)) </t>
  </si>
  <si>
    <t>(perf-test "ACT-R:tutorial;lisp;fan.lisp" nil (defun output-person-location (x)) (dotimes (I 200) (fan-experiment)))</t>
  </si>
  <si>
    <t>(perf-test "ACT-R:tutorial;lisp;fan-no-pm.lisp" nil (defun output-person-location (x)) (dotimes (I 350) (fan-experiment)))</t>
  </si>
  <si>
    <t>(perf-test "ACT-R:tutorial;lisp;grouped.lisp" nil nil (dotimes (I 4500) (grouped-recall)))</t>
  </si>
  <si>
    <t>(perf-test "ACT-R:tutorial;lisp;siegler.lisp" nil nil (siegler-experiment 1500))</t>
  </si>
  <si>
    <t>(perf-test "ACT-R:tutorial;lisp;onehit.lisp" "ACT-R:examples;act-r-solutions;unit-5-1hit-blackjack-solution-model.lisp" nil (onehit-learning 370 nil))</t>
  </si>
  <si>
    <t>(perf-test "ACT-R:tutorial;lisp;bst.lisp" nil nil (bst-test 450))</t>
  </si>
  <si>
    <t>(perf-test "ACT-R:tutorial;lisp;bst.lisp" nil nil (bst-experiment 90))</t>
  </si>
  <si>
    <t>(perf-test "ACT-R:examples;act-r-solutions;unit-6-choice-solution-task.lisp" nil nil (choice-data 450))</t>
  </si>
  <si>
    <t>(perf-test "ACT-R:examples;act-r-solutions;unit-6-choice-solution-event-based-task.lisp" nil nil (choice-data 500))</t>
  </si>
  <si>
    <t>(perf-test "ACT-R:tutorial;lisp;paired.lisp" "ACT-R:tutorial;unit7;paired-learning-model.lisp" nil (paired-experiment 32))</t>
  </si>
  <si>
    <t>(perf-test "ACT-R:tutorial;lisp;past-tense.lisp" "ACT-R:examples;act-r-solutions;unit-7-past-tense-solution-model.lisp" nil (past-tense-trials 31000))</t>
  </si>
  <si>
    <t xml:space="preserve">           </t>
  </si>
  <si>
    <t>(perf-test "ACT-R:tutorial;lisp;bst-ppm.lisp" nil nil (bst-ppm-experiment 90))</t>
  </si>
  <si>
    <t>(perf-test "ACT-R:tutorial;lisp;paired.lisp" "ACT-R:tutorial;unit8;paired-dynamic-model.lisp" nil (paired-experiment 30))</t>
  </si>
  <si>
    <t>(perf-test "ACT-R:tutorial;lisp;categorize.lisp" "ACT-R:examples;act-r-solutions;unit-8-categorize-solution-model.lisp" nil (categorize-experiment 800))</t>
  </si>
  <si>
    <t>(load "c:/time-test/7.14/actr7.x/load-act-r.lisp")</t>
  </si>
  <si>
    <t>(load "c:/time-test/7.14sa/actr7.x/load-act-r.lisp")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</si>
</sst>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0"/>
  <sheetViews>
    <sheetView tabSelected="1" workbookViewId="0">
      <selection sqref="A1:Q41"/>
    </sheetView>
  </sheetViews>
  <sheetFormatPr defaultRowHeight="15"/>
  <sheetData>
    <row r="1" spans="1:13">
      <c r="E1" t="s">
        <v>0</v>
      </c>
    </row>
    <row r="2" spans="1:13">
      <c r="A2" t="s">
        <v>1</v>
      </c>
      <c r="D2">
        <v>7.14</v>
      </c>
      <c r="I2" t="s">
        <v>2</v>
      </c>
    </row>
    <row r="3" spans="1:13">
      <c r="D3" t="s">
        <v>3</v>
      </c>
      <c r="E3" t="s">
        <v>4</v>
      </c>
      <c r="F3" t="s">
        <v>5</v>
      </c>
      <c r="I3" t="s">
        <v>3</v>
      </c>
      <c r="J3" t="s">
        <v>4</v>
      </c>
      <c r="K3" t="s">
        <v>5</v>
      </c>
    </row>
    <row r="4" spans="1:13">
      <c r="A4" t="s">
        <v>6</v>
      </c>
      <c r="D4">
        <v>53.634999999999998</v>
      </c>
      <c r="E4">
        <v>1.4950000000000001</v>
      </c>
      <c r="F4">
        <v>565</v>
      </c>
      <c r="I4">
        <v>52.92</v>
      </c>
      <c r="J4">
        <v>1.5780000000000001</v>
      </c>
      <c r="K4">
        <v>553</v>
      </c>
      <c r="M4">
        <f>I4/D4</f>
        <v>0.98666915260557475</v>
      </c>
    </row>
    <row r="5" spans="1:13">
      <c r="A5" t="s">
        <v>7</v>
      </c>
      <c r="D5">
        <v>54.743000000000002</v>
      </c>
      <c r="E5">
        <v>1.663</v>
      </c>
      <c r="F5">
        <v>780</v>
      </c>
      <c r="I5">
        <v>54.482999999999997</v>
      </c>
      <c r="J5">
        <v>1.484</v>
      </c>
      <c r="K5">
        <v>761</v>
      </c>
      <c r="M5">
        <f t="shared" ref="M5:M36" si="0">I5/D5</f>
        <v>0.99525053431488952</v>
      </c>
    </row>
    <row r="6" spans="1:13">
      <c r="A6" t="s">
        <v>8</v>
      </c>
      <c r="D6">
        <v>59.341999999999999</v>
      </c>
      <c r="E6">
        <v>2.125</v>
      </c>
      <c r="F6">
        <v>994</v>
      </c>
      <c r="I6">
        <v>57.951999999999998</v>
      </c>
      <c r="J6">
        <v>1.9379999999999999</v>
      </c>
      <c r="K6">
        <v>977</v>
      </c>
      <c r="M6">
        <f t="shared" si="0"/>
        <v>0.97657645512453239</v>
      </c>
    </row>
    <row r="7" spans="1:13">
      <c r="A7" t="s">
        <v>9</v>
      </c>
      <c r="D7">
        <v>52.155000000000001</v>
      </c>
      <c r="E7">
        <v>1.6719999999999999</v>
      </c>
      <c r="F7">
        <v>621</v>
      </c>
      <c r="I7">
        <v>51.734999999999999</v>
      </c>
      <c r="J7">
        <v>1.734</v>
      </c>
      <c r="K7">
        <v>605</v>
      </c>
      <c r="M7">
        <f t="shared" si="0"/>
        <v>0.99194708081679606</v>
      </c>
    </row>
    <row r="9" spans="1:13">
      <c r="A9" t="s">
        <v>10</v>
      </c>
      <c r="D9">
        <v>68.075999999999993</v>
      </c>
      <c r="E9">
        <v>2.734</v>
      </c>
      <c r="F9">
        <v>915</v>
      </c>
      <c r="I9">
        <v>67.936000000000007</v>
      </c>
      <c r="J9">
        <v>7.7030000000000003</v>
      </c>
      <c r="K9">
        <v>905</v>
      </c>
      <c r="M9">
        <f t="shared" si="0"/>
        <v>0.99794347493977342</v>
      </c>
    </row>
    <row r="10" spans="1:13">
      <c r="A10" t="s">
        <v>11</v>
      </c>
      <c r="D10">
        <v>62.959000000000003</v>
      </c>
      <c r="E10">
        <v>2.4009999999999998</v>
      </c>
      <c r="F10">
        <v>1088</v>
      </c>
      <c r="I10">
        <v>61.936</v>
      </c>
      <c r="J10">
        <v>2.2029999999999998</v>
      </c>
      <c r="K10">
        <v>1077</v>
      </c>
      <c r="M10">
        <f t="shared" si="0"/>
        <v>0.98375133023078509</v>
      </c>
    </row>
    <row r="12" spans="1:13">
      <c r="A12" t="s">
        <v>12</v>
      </c>
      <c r="D12">
        <v>54.906999999999996</v>
      </c>
      <c r="E12">
        <v>1.859</v>
      </c>
      <c r="F12">
        <v>1227</v>
      </c>
      <c r="I12">
        <v>54.61</v>
      </c>
      <c r="J12">
        <v>2.0470000000000002</v>
      </c>
      <c r="K12">
        <v>1213</v>
      </c>
      <c r="M12">
        <f t="shared" si="0"/>
        <v>0.99459085362522093</v>
      </c>
    </row>
    <row r="13" spans="1:13">
      <c r="A13" t="s">
        <v>13</v>
      </c>
      <c r="D13">
        <v>54.968000000000004</v>
      </c>
      <c r="E13">
        <v>2.0059999999999998</v>
      </c>
      <c r="F13">
        <v>1234</v>
      </c>
      <c r="I13">
        <v>55.093000000000004</v>
      </c>
      <c r="J13">
        <v>1.966</v>
      </c>
      <c r="K13">
        <v>1215</v>
      </c>
      <c r="M13">
        <f t="shared" si="0"/>
        <v>1.002274050356571</v>
      </c>
    </row>
    <row r="16" spans="1:13">
      <c r="A16" t="s">
        <v>14</v>
      </c>
      <c r="D16">
        <v>57.764000000000003</v>
      </c>
      <c r="E16">
        <v>1.4370000000000001</v>
      </c>
      <c r="F16">
        <v>1930</v>
      </c>
      <c r="I16">
        <v>57.484000000000002</v>
      </c>
      <c r="J16">
        <v>1.2629999999999999</v>
      </c>
      <c r="K16">
        <v>1890</v>
      </c>
      <c r="M16">
        <f t="shared" si="0"/>
        <v>0.99515269025690745</v>
      </c>
    </row>
    <row r="17" spans="1:13">
      <c r="A17" t="s">
        <v>15</v>
      </c>
      <c r="D17">
        <v>46.576999999999998</v>
      </c>
      <c r="E17">
        <v>2.4689999999999999</v>
      </c>
      <c r="F17">
        <v>1484</v>
      </c>
      <c r="I17">
        <v>46.430999999999997</v>
      </c>
      <c r="J17">
        <v>2.488</v>
      </c>
      <c r="K17">
        <v>1454</v>
      </c>
      <c r="M17">
        <f t="shared" si="0"/>
        <v>0.99686540567232751</v>
      </c>
    </row>
    <row r="19" spans="1:13">
      <c r="A19" t="s">
        <v>16</v>
      </c>
      <c r="D19">
        <v>60.372999999999998</v>
      </c>
      <c r="E19">
        <v>2.3279999999999998</v>
      </c>
      <c r="F19">
        <v>977</v>
      </c>
      <c r="I19">
        <v>59.061</v>
      </c>
      <c r="J19">
        <v>2.141</v>
      </c>
      <c r="K19">
        <v>963</v>
      </c>
      <c r="M19">
        <f t="shared" si="0"/>
        <v>0.97826843125238105</v>
      </c>
    </row>
    <row r="20" spans="1:13">
      <c r="A20" t="s">
        <v>17</v>
      </c>
      <c r="D20">
        <v>58.03</v>
      </c>
      <c r="E20">
        <v>1.859</v>
      </c>
      <c r="F20">
        <v>675</v>
      </c>
      <c r="I20">
        <v>56.451999999999998</v>
      </c>
      <c r="J20">
        <v>2.0939999999999999</v>
      </c>
      <c r="K20">
        <v>664</v>
      </c>
      <c r="M20">
        <f t="shared" si="0"/>
        <v>0.97280716870584172</v>
      </c>
    </row>
    <row r="21" spans="1:13">
      <c r="A21" t="s">
        <v>18</v>
      </c>
      <c r="D21">
        <v>47.587000000000003</v>
      </c>
      <c r="E21">
        <v>0.96</v>
      </c>
      <c r="F21">
        <v>645</v>
      </c>
      <c r="I21">
        <v>46.625</v>
      </c>
      <c r="J21">
        <v>0.85899999999999999</v>
      </c>
      <c r="K21">
        <v>632</v>
      </c>
      <c r="M21">
        <f t="shared" si="0"/>
        <v>0.97978439489776614</v>
      </c>
    </row>
    <row r="22" spans="1:13">
      <c r="A22" t="s">
        <v>19</v>
      </c>
      <c r="D22">
        <v>65.686000000000007</v>
      </c>
      <c r="E22">
        <v>2.5</v>
      </c>
      <c r="F22">
        <v>957</v>
      </c>
      <c r="I22">
        <v>61.408000000000001</v>
      </c>
      <c r="J22">
        <v>1.625</v>
      </c>
      <c r="K22">
        <v>932</v>
      </c>
      <c r="M22">
        <f t="shared" si="0"/>
        <v>0.9348719666291142</v>
      </c>
    </row>
    <row r="23" spans="1:13">
      <c r="A23" t="s">
        <v>20</v>
      </c>
      <c r="D23">
        <v>57.701999999999998</v>
      </c>
      <c r="E23">
        <v>0.81200000000000006</v>
      </c>
      <c r="F23">
        <v>1963</v>
      </c>
      <c r="I23">
        <v>52.323999999999998</v>
      </c>
      <c r="J23">
        <v>0.67800000000000005</v>
      </c>
      <c r="K23">
        <v>1951</v>
      </c>
      <c r="M23">
        <f t="shared" si="0"/>
        <v>0.90679699143877157</v>
      </c>
    </row>
    <row r="26" spans="1:13">
      <c r="A26" t="s">
        <v>21</v>
      </c>
      <c r="D26">
        <v>32.744</v>
      </c>
      <c r="E26">
        <v>1</v>
      </c>
      <c r="F26">
        <v>942</v>
      </c>
      <c r="I26">
        <v>32.701999999999998</v>
      </c>
      <c r="J26">
        <v>0.90600000000000003</v>
      </c>
      <c r="K26">
        <v>933</v>
      </c>
      <c r="M26">
        <f t="shared" si="0"/>
        <v>0.99871732225751275</v>
      </c>
    </row>
    <row r="27" spans="1:13">
      <c r="A27" t="s">
        <v>22</v>
      </c>
      <c r="D27">
        <v>40.253</v>
      </c>
      <c r="E27">
        <v>1.375</v>
      </c>
      <c r="F27">
        <v>1307</v>
      </c>
      <c r="I27">
        <v>40.165999999999997</v>
      </c>
      <c r="J27">
        <v>1.391</v>
      </c>
      <c r="K27">
        <v>1290</v>
      </c>
      <c r="M27">
        <f t="shared" si="0"/>
        <v>0.99783867040965879</v>
      </c>
    </row>
    <row r="28" spans="1:13">
      <c r="A28" t="s">
        <v>23</v>
      </c>
      <c r="D28">
        <v>64.153999999999996</v>
      </c>
      <c r="E28">
        <v>1.016</v>
      </c>
      <c r="F28">
        <v>1945</v>
      </c>
      <c r="I28">
        <v>63.832000000000001</v>
      </c>
      <c r="J28">
        <v>1.3029999999999999</v>
      </c>
      <c r="K28">
        <v>1907</v>
      </c>
      <c r="M28">
        <f t="shared" si="0"/>
        <v>0.99498082738410709</v>
      </c>
    </row>
    <row r="29" spans="1:13">
      <c r="A29" t="s">
        <v>24</v>
      </c>
      <c r="D29">
        <v>55.012999999999998</v>
      </c>
      <c r="E29">
        <v>1.2689999999999999</v>
      </c>
      <c r="F29">
        <v>1411</v>
      </c>
      <c r="I29">
        <v>55.386000000000003</v>
      </c>
      <c r="J29">
        <v>1.163</v>
      </c>
      <c r="K29">
        <v>1379</v>
      </c>
      <c r="M29">
        <f t="shared" si="0"/>
        <v>1.0067802155854071</v>
      </c>
    </row>
    <row r="31" spans="1:13">
      <c r="A31" t="s">
        <v>25</v>
      </c>
      <c r="D31">
        <v>44.433</v>
      </c>
      <c r="E31">
        <v>2.0350000000000001</v>
      </c>
      <c r="F31">
        <v>3700</v>
      </c>
      <c r="I31">
        <v>44.311</v>
      </c>
      <c r="J31">
        <v>1.8440000000000001</v>
      </c>
      <c r="K31">
        <v>3684</v>
      </c>
      <c r="M31">
        <f t="shared" si="0"/>
        <v>0.99725429298044244</v>
      </c>
    </row>
    <row r="32" spans="1:13">
      <c r="A32" t="s">
        <v>26</v>
      </c>
      <c r="D32">
        <v>58.695</v>
      </c>
      <c r="E32">
        <v>8.5939999999999994</v>
      </c>
      <c r="F32">
        <v>2493</v>
      </c>
      <c r="I32">
        <v>57.496000000000002</v>
      </c>
      <c r="J32">
        <v>8.282</v>
      </c>
      <c r="K32">
        <v>2455</v>
      </c>
      <c r="M32">
        <f t="shared" si="0"/>
        <v>0.97957236561887728</v>
      </c>
    </row>
    <row r="34" spans="1:13">
      <c r="A34" t="s">
        <v>27</v>
      </c>
    </row>
    <row r="35" spans="1:13">
      <c r="A35" t="s">
        <v>28</v>
      </c>
      <c r="D35">
        <v>45.122</v>
      </c>
      <c r="E35">
        <v>1.31</v>
      </c>
      <c r="F35">
        <v>1282</v>
      </c>
      <c r="I35">
        <v>45.249000000000002</v>
      </c>
      <c r="J35">
        <v>1.234</v>
      </c>
      <c r="K35">
        <v>1266</v>
      </c>
      <c r="M35">
        <f t="shared" si="0"/>
        <v>1.002814591551793</v>
      </c>
    </row>
    <row r="36" spans="1:13">
      <c r="A36" t="s">
        <v>29</v>
      </c>
      <c r="D36">
        <v>44.374000000000002</v>
      </c>
      <c r="E36">
        <v>2.0379999999999998</v>
      </c>
      <c r="F36">
        <v>3387</v>
      </c>
      <c r="I36">
        <v>44.372999999999998</v>
      </c>
      <c r="J36">
        <v>2.0659999999999998</v>
      </c>
      <c r="K36">
        <v>3371</v>
      </c>
      <c r="M36">
        <f t="shared" si="0"/>
        <v>0.99997746428088508</v>
      </c>
    </row>
    <row r="37" spans="1:13">
      <c r="A37" t="s">
        <v>30</v>
      </c>
    </row>
    <row r="40" spans="1:13">
      <c r="A40" t="s">
        <v>31</v>
      </c>
      <c r="I40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db30</dc:creator>
  <cp:lastModifiedBy>db30</cp:lastModifiedBy>
  <dcterms:created xsi:type="dcterms:W3CDTF">2019-11-05T15:28:22Z</dcterms:created>
  <dcterms:modified xsi:type="dcterms:W3CDTF">2019-11-05T15:28:53Z</dcterms:modified>
</cp:coreProperties>
</file>